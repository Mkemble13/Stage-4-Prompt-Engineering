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X_Hedge_Model" sheetId="1" r:id="rId1"/>
  </sheets>
  <definedNames>
    <definedName name="F0_in">FX_Hedge_Model!$B$6</definedName>
    <definedName name="FC_AMT">FX_Hedge_Model!$B$4</definedName>
    <definedName name="Forward_USD">FX_Hedge_Model!$B$19</definedName>
    <definedName name="K_CALL">FX_Hedge_Model!$B$8</definedName>
    <definedName name="K_PUT">FX_Hedge_Model!$B$7</definedName>
    <definedName name="MM_USD">FX_Hedge_Model!$B$24</definedName>
    <definedName name="PREM_CALL">FX_Hedge_Model!$B$10</definedName>
    <definedName name="PREM_PUT">FX_Hedge_Model!$B$9</definedName>
    <definedName name="R_FC">FX_Hedge_Model!$B$15</definedName>
    <definedName name="R_USD">FX_Hedge_Model!$B$14</definedName>
    <definedName name="S0_in">FX_Hedge_Model!$B$5</definedName>
    <definedName name="S_T">FX_Hedge_Model!$B$27</definedName>
    <definedName name="T_DAYS">FX_Hedge_Model!$B$11</definedName>
    <definedName name="T_YRS">FX_Hedge_Model!$B$16</definedName>
  </definedNames>
  <calcPr calcId="124519" fullCalcOnLoad="1"/>
</workbook>
</file>

<file path=xl/sharedStrings.xml><?xml version="1.0" encoding="utf-8"?>
<sst xmlns="http://schemas.openxmlformats.org/spreadsheetml/2006/main" count="42" uniqueCount="42">
  <si>
    <t>FIN 321 FX Hedging Model – U.S. Tech Services Inc.</t>
  </si>
  <si>
    <t>INPUT VARIABLES (Stage 2 Scenario)</t>
  </si>
  <si>
    <t>EUR Receivable Amount (EUR)</t>
  </si>
  <si>
    <t>Spot rate S0 (USD/EUR)</t>
  </si>
  <si>
    <t>1-Year Forward rate F0 (USD/EUR)</t>
  </si>
  <si>
    <t>EUR Put strike K_put (USD/EUR)</t>
  </si>
  <si>
    <t>EUR Call strike K_call (USD/EUR, for collar tests)</t>
  </si>
  <si>
    <t>EUR Put premium (USD/EUR)</t>
  </si>
  <si>
    <t>EUR Call premium (USD/EUR)</t>
  </si>
  <si>
    <t>Days to maturity (12 months ACT/360)</t>
  </si>
  <si>
    <t>ASSUMPTIONS (Interest Rates, Time Basis)</t>
  </si>
  <si>
    <t>USD 1-Year interest rate r_USD (annual, ACT/360)</t>
  </si>
  <si>
    <t>EUR 1-Year interest rate r_FC (annual, ACT/360)</t>
  </si>
  <si>
    <t>T_YRS (T_DAYS / 360)</t>
  </si>
  <si>
    <t>FORWARD HEDGE</t>
  </si>
  <si>
    <t>Forward USD inflow at maturity</t>
  </si>
  <si>
    <t>MONEY MARKET HEDGE (3-step)</t>
  </si>
  <si>
    <t>Step 1: Present value of EUR receivable (borrow in EUR)</t>
  </si>
  <si>
    <t>Step 2: Convert EUR PV to USD at spot today</t>
  </si>
  <si>
    <t>Step 3: Invest USD until maturity at r_USD</t>
  </si>
  <si>
    <t>OPTION HEDGES (EUR Put &amp; Call)</t>
  </si>
  <si>
    <t>Assumed terminal spot S_T (base case = S0)</t>
  </si>
  <si>
    <t>Put payoff per EUR = max(K_PUT - S_T, 0)</t>
  </si>
  <si>
    <t>Total put payoff (USD)</t>
  </si>
  <si>
    <t>Total put premium cost (USD)</t>
  </si>
  <si>
    <t>Net put hedge payoff (USD)</t>
  </si>
  <si>
    <t>Call payoff per EUR = max(S_T - K_CALL, 0)</t>
  </si>
  <si>
    <t>Total call payoff (USD)</t>
  </si>
  <si>
    <t>Total call premium cost (USD)</t>
  </si>
  <si>
    <t>Net call hedge payoff (USD)</t>
  </si>
  <si>
    <t>SENSITIVITY TABLE: Spot +/- 5% around S0</t>
  </si>
  <si>
    <t>Base spot S0_in</t>
  </si>
  <si>
    <t>Multiplier</t>
  </si>
  <si>
    <t>S_T</t>
  </si>
  <si>
    <t>Forward USD</t>
  </si>
  <si>
    <t>MM USD</t>
  </si>
  <si>
    <t>Net Put (USD)</t>
  </si>
  <si>
    <t>Net Call (USD)</t>
  </si>
  <si>
    <t>CROSS-CHECKS</t>
  </si>
  <si>
    <t>Forward vs MM parity (difference, USD)</t>
  </si>
  <si>
    <t>Implied forward from MM (USD/EUR)</t>
  </si>
  <si>
    <t>Put-Call Parity Check: (Call - Put) vs (F0 - 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</si>
</sst>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cols>
    <col min="1" max="1" width="40.7109375" customWidth="1"/>
    <col min="2" max="6" width="18.7109375" customWidth="1"/>
  </cols>
  <sheetData>
    <row r="1" spans="1:2">
      <c r="A1" s="1" t="s">
        <v>0</v>
      </c>
    </row>
    <row r="3" spans="1:2">
      <c r="A3" s="1" t="s">
        <v>1</v>
      </c>
    </row>
    <row r="4" spans="1:2">
      <c r="A4" s="2" t="s">
        <v>2</v>
      </c>
      <c r="B4" s="3">
        <v>12500000</v>
      </c>
    </row>
    <row r="5" spans="1:2">
      <c r="A5" s="2" t="s">
        <v>3</v>
      </c>
      <c r="B5" s="3">
        <v>1.085</v>
      </c>
    </row>
    <row r="6" spans="1:2">
      <c r="A6" s="2" t="s">
        <v>4</v>
      </c>
      <c r="B6" s="3">
        <v>1.091</v>
      </c>
    </row>
    <row r="7" spans="1:2">
      <c r="A7" s="2" t="s">
        <v>5</v>
      </c>
      <c r="B7" s="3">
        <v>1.091</v>
      </c>
    </row>
    <row r="8" spans="1:2">
      <c r="A8" s="2" t="s">
        <v>6</v>
      </c>
      <c r="B8" s="3">
        <v>1.091</v>
      </c>
    </row>
    <row r="9" spans="1:2">
      <c r="A9" s="2" t="s">
        <v>7</v>
      </c>
      <c r="B9" s="3">
        <v>0.017</v>
      </c>
    </row>
    <row r="10" spans="1:2">
      <c r="A10" s="2" t="s">
        <v>8</v>
      </c>
      <c r="B10" s="3">
        <v>0.022</v>
      </c>
    </row>
    <row r="11" spans="1:2">
      <c r="A11" s="2" t="s">
        <v>9</v>
      </c>
      <c r="B11" s="3">
        <v>360</v>
      </c>
    </row>
    <row r="13" spans="1:2">
      <c r="A13" s="1" t="s">
        <v>10</v>
      </c>
    </row>
    <row r="14" spans="1:2">
      <c r="A14" s="2" t="s">
        <v>11</v>
      </c>
      <c r="B14" s="4">
        <v>0.0475</v>
      </c>
    </row>
    <row r="15" spans="1:2">
      <c r="A15" s="2" t="s">
        <v>12</v>
      </c>
      <c r="B15" s="4">
        <v>0.0325</v>
      </c>
    </row>
    <row r="16" spans="1:2">
      <c r="A16" s="2" t="s">
        <v>13</v>
      </c>
      <c r="B16" s="4">
        <f>T_DAYS/360</f>
        <v>0</v>
      </c>
    </row>
    <row r="18" spans="1:2">
      <c r="A18" s="1" t="s">
        <v>14</v>
      </c>
    </row>
    <row r="19" spans="1:2">
      <c r="A19" s="2" t="s">
        <v>15</v>
      </c>
      <c r="B19" s="5">
        <f>FC_AMT*F0_in</f>
        <v>0</v>
      </c>
    </row>
    <row r="21" spans="1:2">
      <c r="A21" s="1" t="s">
        <v>16</v>
      </c>
    </row>
    <row r="22" spans="1:2">
      <c r="A22" s="2" t="s">
        <v>17</v>
      </c>
      <c r="B22" s="6">
        <f>FC_AMT/(1+R_FC*T_YRS)</f>
        <v>0</v>
      </c>
    </row>
    <row r="23" spans="1:2">
      <c r="A23" s="2" t="s">
        <v>18</v>
      </c>
      <c r="B23" s="6">
        <f>B22*S0_in</f>
        <v>0</v>
      </c>
    </row>
    <row r="24" spans="1:2">
      <c r="A24" s="2" t="s">
        <v>19</v>
      </c>
      <c r="B24" s="5">
        <f>B23*(1+R_USD*T_YRS)</f>
        <v>0</v>
      </c>
    </row>
    <row r="26" spans="1:2">
      <c r="A26" s="1" t="s">
        <v>20</v>
      </c>
    </row>
    <row r="27" spans="1:2">
      <c r="A27" s="2" t="s">
        <v>21</v>
      </c>
      <c r="B27" s="3">
        <f>S0_in</f>
        <v>0</v>
      </c>
    </row>
    <row r="28" spans="1:2">
      <c r="A28" s="2" t="s">
        <v>22</v>
      </c>
      <c r="B28" s="6">
        <f>MAX(K_PUT-S_T,0)</f>
        <v>0</v>
      </c>
    </row>
    <row r="29" spans="1:2">
      <c r="A29" s="2" t="s">
        <v>23</v>
      </c>
      <c r="B29" s="6">
        <f>B28*FC_AMT</f>
        <v>0</v>
      </c>
    </row>
    <row r="30" spans="1:2">
      <c r="A30" s="2" t="s">
        <v>24</v>
      </c>
      <c r="B30" s="6">
        <f>PREM_PUT*FC_AMT</f>
        <v>0</v>
      </c>
    </row>
    <row r="31" spans="1:2">
      <c r="A31" s="2" t="s">
        <v>25</v>
      </c>
      <c r="B31" s="5">
        <f>B30-B29</f>
        <v>0</v>
      </c>
    </row>
    <row r="32" spans="1:2">
      <c r="A32" s="2" t="s">
        <v>26</v>
      </c>
      <c r="B32" s="6">
        <f>MAX(S_T-K_CALL,0)</f>
        <v>0</v>
      </c>
    </row>
    <row r="33" spans="1:6">
      <c r="A33" s="2" t="s">
        <v>27</v>
      </c>
      <c r="B33" s="6">
        <f>B32*FC_AMT</f>
        <v>0</v>
      </c>
    </row>
    <row r="34" spans="1:6">
      <c r="A34" s="2" t="s">
        <v>28</v>
      </c>
      <c r="B34" s="6">
        <f>PREM_CALL*FC_AMT</f>
        <v>0</v>
      </c>
    </row>
    <row r="35" spans="1:6">
      <c r="A35" s="2" t="s">
        <v>29</v>
      </c>
      <c r="B35" s="5">
        <f>B34-B33</f>
        <v>0</v>
      </c>
    </row>
    <row r="37" spans="1:6">
      <c r="A37" s="1" t="s">
        <v>30</v>
      </c>
    </row>
    <row r="38" spans="1:6">
      <c r="A38" s="2" t="s">
        <v>31</v>
      </c>
      <c r="B38" s="6">
        <f>S0_in</f>
        <v>0</v>
      </c>
    </row>
    <row r="40" spans="1:6">
      <c r="A40" s="2" t="s">
        <v>32</v>
      </c>
      <c r="B40" s="2" t="s">
        <v>33</v>
      </c>
      <c r="C40" s="2" t="s">
        <v>34</v>
      </c>
      <c r="D40" s="2" t="s">
        <v>35</v>
      </c>
      <c r="E40" s="2" t="s">
        <v>36</v>
      </c>
      <c r="F40" s="2" t="s">
        <v>37</v>
      </c>
    </row>
    <row r="41" spans="1:6">
      <c r="A41" s="4">
        <v>0.95</v>
      </c>
      <c r="B41" s="6">
        <f>A41*S0_in</f>
        <v>0</v>
      </c>
      <c r="C41" s="5">
        <f>FC_AMT*F0_in</f>
        <v>0</v>
      </c>
      <c r="D41" s="5">
        <f>MM_USD</f>
        <v>0</v>
      </c>
      <c r="E41" s="5">
        <f>MAX(K_PUT-B41,0)*FC_AMT-PREM_PUT*FC_AMT</f>
        <v>0</v>
      </c>
      <c r="F41" s="5">
        <f>MAX(B41-K_CALL,0)*FC_AMT-PREM_CALL*FC_AMT</f>
        <v>0</v>
      </c>
    </row>
    <row r="42" spans="1:6">
      <c r="A42" s="4">
        <v>0.96</v>
      </c>
      <c r="B42" s="6">
        <f>A42*S0_in</f>
        <v>0</v>
      </c>
      <c r="C42" s="5">
        <f>FC_AMT*F0_in</f>
        <v>0</v>
      </c>
      <c r="D42" s="5">
        <f>MM_USD</f>
        <v>0</v>
      </c>
      <c r="E42" s="5">
        <f>MAX(K_PUT-B42,0)*FC_AMT-PREM_PUT*FC_AMT</f>
        <v>0</v>
      </c>
      <c r="F42" s="5">
        <f>MAX(B42-K_CALL,0)*FC_AMT-PREM_CALL*FC_AMT</f>
        <v>0</v>
      </c>
    </row>
    <row r="43" spans="1:6">
      <c r="A43" s="4">
        <v>0.97</v>
      </c>
      <c r="B43" s="6">
        <f>A43*S0_in</f>
        <v>0</v>
      </c>
      <c r="C43" s="5">
        <f>FC_AMT*F0_in</f>
        <v>0</v>
      </c>
      <c r="D43" s="5">
        <f>MM_USD</f>
        <v>0</v>
      </c>
      <c r="E43" s="5">
        <f>MAX(K_PUT-B43,0)*FC_AMT-PREM_PUT*FC_AMT</f>
        <v>0</v>
      </c>
      <c r="F43" s="5">
        <f>MAX(B43-K_CALL,0)*FC_AMT-PREM_CALL*FC_AMT</f>
        <v>0</v>
      </c>
    </row>
    <row r="44" spans="1:6">
      <c r="A44" s="4">
        <v>0.98</v>
      </c>
      <c r="B44" s="6">
        <f>A44*S0_in</f>
        <v>0</v>
      </c>
      <c r="C44" s="5">
        <f>FC_AMT*F0_in</f>
        <v>0</v>
      </c>
      <c r="D44" s="5">
        <f>MM_USD</f>
        <v>0</v>
      </c>
      <c r="E44" s="5">
        <f>MAX(K_PUT-B44,0)*FC_AMT-PREM_PUT*FC_AMT</f>
        <v>0</v>
      </c>
      <c r="F44" s="5">
        <f>MAX(B44-K_CALL,0)*FC_AMT-PREM_CALL*FC_AMT</f>
        <v>0</v>
      </c>
    </row>
    <row r="45" spans="1:6">
      <c r="A45" s="4">
        <v>0.99</v>
      </c>
      <c r="B45" s="6">
        <f>A45*S0_in</f>
        <v>0</v>
      </c>
      <c r="C45" s="5">
        <f>FC_AMT*F0_in</f>
        <v>0</v>
      </c>
      <c r="D45" s="5">
        <f>MM_USD</f>
        <v>0</v>
      </c>
      <c r="E45" s="5">
        <f>MAX(K_PUT-B45,0)*FC_AMT-PREM_PUT*FC_AMT</f>
        <v>0</v>
      </c>
      <c r="F45" s="5">
        <f>MAX(B45-K_CALL,0)*FC_AMT-PREM_CALL*FC_AMT</f>
        <v>0</v>
      </c>
    </row>
    <row r="46" spans="1:6">
      <c r="A46" s="4">
        <v>1</v>
      </c>
      <c r="B46" s="6">
        <f>A46*S0_in</f>
        <v>0</v>
      </c>
      <c r="C46" s="5">
        <f>FC_AMT*F0_in</f>
        <v>0</v>
      </c>
      <c r="D46" s="5">
        <f>MM_USD</f>
        <v>0</v>
      </c>
      <c r="E46" s="5">
        <f>MAX(K_PUT-B46,0)*FC_AMT-PREM_PUT*FC_AMT</f>
        <v>0</v>
      </c>
      <c r="F46" s="5">
        <f>MAX(B46-K_CALL,0)*FC_AMT-PREM_CALL*FC_AMT</f>
        <v>0</v>
      </c>
    </row>
    <row r="47" spans="1:6">
      <c r="A47" s="4">
        <v>1.01</v>
      </c>
      <c r="B47" s="6">
        <f>A47*S0_in</f>
        <v>0</v>
      </c>
      <c r="C47" s="5">
        <f>FC_AMT*F0_in</f>
        <v>0</v>
      </c>
      <c r="D47" s="5">
        <f>MM_USD</f>
        <v>0</v>
      </c>
      <c r="E47" s="5">
        <f>MAX(K_PUT-B47,0)*FC_AMT-PREM_PUT*FC_AMT</f>
        <v>0</v>
      </c>
      <c r="F47" s="5">
        <f>MAX(B47-K_CALL,0)*FC_AMT-PREM_CALL*FC_AMT</f>
        <v>0</v>
      </c>
    </row>
    <row r="48" spans="1:6">
      <c r="A48" s="4">
        <v>1.02</v>
      </c>
      <c r="B48" s="6">
        <f>A48*S0_in</f>
        <v>0</v>
      </c>
      <c r="C48" s="5">
        <f>FC_AMT*F0_in</f>
        <v>0</v>
      </c>
      <c r="D48" s="5">
        <f>MM_USD</f>
        <v>0</v>
      </c>
      <c r="E48" s="5">
        <f>MAX(K_PUT-B48,0)*FC_AMT-PREM_PUT*FC_AMT</f>
        <v>0</v>
      </c>
      <c r="F48" s="5">
        <f>MAX(B48-K_CALL,0)*FC_AMT-PREM_CALL*FC_AMT</f>
        <v>0</v>
      </c>
    </row>
    <row r="49" spans="1:6">
      <c r="A49" s="4">
        <v>1.03</v>
      </c>
      <c r="B49" s="6">
        <f>A49*S0_in</f>
        <v>0</v>
      </c>
      <c r="C49" s="5">
        <f>FC_AMT*F0_in</f>
        <v>0</v>
      </c>
      <c r="D49" s="5">
        <f>MM_USD</f>
        <v>0</v>
      </c>
      <c r="E49" s="5">
        <f>MAX(K_PUT-B49,0)*FC_AMT-PREM_PUT*FC_AMT</f>
        <v>0</v>
      </c>
      <c r="F49" s="5">
        <f>MAX(B49-K_CALL,0)*FC_AMT-PREM_CALL*FC_AMT</f>
        <v>0</v>
      </c>
    </row>
    <row r="50" spans="1:6">
      <c r="A50" s="4">
        <v>1.04</v>
      </c>
      <c r="B50" s="6">
        <f>A50*S0_in</f>
        <v>0</v>
      </c>
      <c r="C50" s="5">
        <f>FC_AMT*F0_in</f>
        <v>0</v>
      </c>
      <c r="D50" s="5">
        <f>MM_USD</f>
        <v>0</v>
      </c>
      <c r="E50" s="5">
        <f>MAX(K_PUT-B50,0)*FC_AMT-PREM_PUT*FC_AMT</f>
        <v>0</v>
      </c>
      <c r="F50" s="5">
        <f>MAX(B50-K_CALL,0)*FC_AMT-PREM_CALL*FC_AMT</f>
        <v>0</v>
      </c>
    </row>
    <row r="51" spans="1:6">
      <c r="A51" s="4">
        <v>1.05</v>
      </c>
      <c r="B51" s="6">
        <f>A51*S0_in</f>
        <v>0</v>
      </c>
      <c r="C51" s="5">
        <f>FC_AMT*F0_in</f>
        <v>0</v>
      </c>
      <c r="D51" s="5">
        <f>MM_USD</f>
        <v>0</v>
      </c>
      <c r="E51" s="5">
        <f>MAX(K_PUT-B51,0)*FC_AMT-PREM_PUT*FC_AMT</f>
        <v>0</v>
      </c>
      <c r="F51" s="5">
        <f>MAX(B51-K_CALL,0)*FC_AMT-PREM_CALL*FC_AMT</f>
        <v>0</v>
      </c>
    </row>
    <row r="53" spans="1:6">
      <c r="A53" s="1" t="s">
        <v>38</v>
      </c>
    </row>
    <row r="54" spans="1:6">
      <c r="A54" s="2" t="s">
        <v>39</v>
      </c>
      <c r="B54" s="5">
        <f>Forward_USD-MM_USD</f>
        <v>0</v>
      </c>
    </row>
    <row r="55" spans="1:6">
      <c r="A55" s="2" t="s">
        <v>40</v>
      </c>
      <c r="B55" s="6">
        <f>MM_USD/FC_AMT</f>
        <v>0</v>
      </c>
    </row>
    <row r="56" spans="1:6">
      <c r="A56" s="2" t="s">
        <v>41</v>
      </c>
      <c r="B56" s="5">
        <f>(PREM_CALL-PREM_PUT)-(F0_in-K_PUT)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FX_Hedge_Model</vt:lpstr>
      <vt:lpstr>F0_in</vt:lpstr>
      <vt:lpstr>FC_AMT</vt:lpstr>
      <vt:lpstr>Forward_USD</vt:lpstr>
      <vt:lpstr>K_CALL</vt:lpstr>
      <vt:lpstr>K_PUT</vt:lpstr>
      <vt:lpstr>MM_USD</vt:lpstr>
      <vt:lpstr>PREM_CALL</vt:lpstr>
      <vt:lpstr>PREM_PUT</vt:lpstr>
      <vt:lpstr>R_FC</vt:lpstr>
      <vt:lpstr>R_USD</vt:lpstr>
      <vt:lpstr>S0_in</vt:lpstr>
      <vt:lpstr>S_T</vt:lpstr>
      <vt:lpstr>T_DAYS</vt:lpstr>
      <vt:lpstr>T_YRS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2025-12-12T00:53:47Z</dcterms:created>
  <dcterms:modified xsi:type="dcterms:W3CDTF">2025-12-12T00:53:47Z</dcterms:modified>
</cp:coreProperties>
</file>